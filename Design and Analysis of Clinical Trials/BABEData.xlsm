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/>
  </bookViews>
  <sheets>
    <sheet name="BABEData" sheetId="1" r:id="rId1"/>
    <sheet name="Sheet1" sheetId="2" r:id="rId2"/>
    <sheet name="Sheet2" sheetId="3" r:id="rId3"/>
  </sheets>
  <calcPr calcId="124519"/>
</workbook>
</file>

<file path=xl/calcChain.xml><?xml version="1.0" encoding="utf-8"?>
<calcChain xmlns="http://schemas.openxmlformats.org/spreadsheetml/2006/main">
  <c r="A10001" i="1"/>
  <c r="B10001"/>
  <c r="C10001"/>
  <c r="D10001"/>
  <c r="E10001"/>
  <c r="F10001"/>
  <c r="G10001"/>
  <c r="H10001"/>
  <c r="I10001"/>
  <c r="J10001"/>
  <c r="K10001"/>
  <c r="L1048565"/>
  <c r="V3" i="2" l="1"/>
  <c r="U3"/>
  <c r="T3"/>
  <c r="R3"/>
  <c r="F4"/>
  <c r="G4" s="1"/>
  <c r="H4" s="1"/>
  <c r="I4" s="1"/>
  <c r="J4" s="1"/>
  <c r="K4" s="1"/>
  <c r="L4" s="1"/>
  <c r="M4" s="1"/>
  <c r="N4" s="1"/>
  <c r="O4" s="1"/>
  <c r="P4" s="1"/>
  <c r="Q4" s="1"/>
  <c r="E4"/>
  <c r="S3"/>
</calcChain>
</file>

<file path=xl/sharedStrings.xml><?xml version="1.0" encoding="utf-8"?>
<sst xmlns="http://schemas.openxmlformats.org/spreadsheetml/2006/main" count="17" uniqueCount="17">
  <si>
    <t>Sub</t>
  </si>
  <si>
    <t>seq</t>
  </si>
  <si>
    <t>treat</t>
  </si>
  <si>
    <t>Per</t>
  </si>
  <si>
    <t>ti</t>
  </si>
  <si>
    <t>Ci</t>
  </si>
  <si>
    <t>Cmax</t>
  </si>
  <si>
    <t>Tmax</t>
  </si>
  <si>
    <t>Match</t>
  </si>
  <si>
    <t>AUCot</t>
  </si>
  <si>
    <t>Slope</t>
  </si>
  <si>
    <t>Ke</t>
  </si>
  <si>
    <t>Mean</t>
  </si>
  <si>
    <t>Min</t>
  </si>
  <si>
    <t>Max</t>
  </si>
  <si>
    <t>Var</t>
  </si>
  <si>
    <t>Std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</si>
</sst>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3" borderId="0" xfId="0" applyFill="1"/>
    <xf numFmtId="0" fontId="14" fillId="33" borderId="10" xfId="0" applyFont="1" applyFill="1" applyBorder="1"/>
    <xf numFmtId="0" fontId="0" fillId="34" borderId="0" xfId="0" applyFill="1"/>
    <xf numFmtId="0" fontId="0" fillId="35" borderId="0" xfId="0" applyFill="1"/>
    <xf numFmtId="0" fontId="0" fillId="35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J1048576"/>
  <sheetViews>
    <sheetView tabSelected="1" topLeftCell="M1" zoomScale="145" zoomScaleNormal="145" workbookViewId="0">
      <selection activeCell="W7" sqref="W7"/>
    </sheetView>
  </sheetViews>
  <sheetFormatPr defaultRowHeight="15"/>
  <cols>
    <col min="1" max="1" width="4.28515625" bestFit="1" customWidth="1"/>
    <col min="2" max="2" width="4.140625" bestFit="1" customWidth="1"/>
    <col min="3" max="3" width="5.28515625" bestFit="1" customWidth="1"/>
    <col min="4" max="4" width="4" bestFit="1" customWidth="1"/>
    <col min="5" max="5" width="2" bestFit="1" customWidth="1"/>
    <col min="6" max="9" width="6.28515625" bestFit="1" customWidth="1"/>
    <col min="10" max="12" width="7.42578125" bestFit="1" customWidth="1"/>
    <col min="13" max="20" width="6.28515625" bestFit="1" customWidth="1"/>
    <col min="21" max="21" width="7.5703125" customWidth="1"/>
    <col min="22" max="22" width="6.42578125" bestFit="1" customWidth="1"/>
    <col min="23" max="23" width="7.42578125" bestFit="1" customWidth="1"/>
    <col min="24" max="24" width="5.7109375" bestFit="1" customWidth="1"/>
    <col min="25" max="25" width="10.7109375" bestFit="1" customWidth="1"/>
    <col min="26" max="28" width="12.85546875" bestFit="1" customWidth="1"/>
  </cols>
  <sheetData>
    <row r="1" spans="1:36">
      <c r="A1" t="s">
        <v>0</v>
      </c>
      <c r="B1" t="s">
        <v>1</v>
      </c>
      <c r="C1" t="s">
        <v>2</v>
      </c>
      <c r="D1" t="s">
        <v>3</v>
      </c>
      <c r="E1" s="5">
        <v>0</v>
      </c>
      <c r="F1" s="5">
        <v>0.5</v>
      </c>
      <c r="G1" s="5">
        <v>1</v>
      </c>
      <c r="H1" s="5">
        <v>1.25</v>
      </c>
      <c r="I1" s="5">
        <v>1.5</v>
      </c>
      <c r="J1" s="5">
        <v>1.75</v>
      </c>
      <c r="K1" s="5">
        <v>2</v>
      </c>
      <c r="L1" s="5">
        <v>2.25</v>
      </c>
      <c r="M1" s="5">
        <v>2.5</v>
      </c>
      <c r="N1" s="5">
        <v>2.75</v>
      </c>
      <c r="O1" s="5">
        <v>3</v>
      </c>
      <c r="P1" s="5">
        <v>3.5</v>
      </c>
      <c r="Q1" s="5">
        <v>4</v>
      </c>
      <c r="R1" s="5">
        <v>6</v>
      </c>
      <c r="S1" s="5">
        <v>8</v>
      </c>
      <c r="T1" s="5">
        <v>12</v>
      </c>
      <c r="V1" s="6"/>
      <c r="W1" s="6"/>
      <c r="X1" s="6"/>
      <c r="Y1" s="6"/>
      <c r="Z1" s="6"/>
      <c r="AA1" s="6"/>
      <c r="AB1" s="6"/>
      <c r="AC1" s="6"/>
      <c r="AD1" s="6"/>
      <c r="AE1" s="6"/>
      <c r="AF1" s="6"/>
    </row>
    <row r="2" spans="1:36">
      <c r="A2">
        <v>1</v>
      </c>
      <c r="B2">
        <v>1</v>
      </c>
      <c r="C2">
        <v>2</v>
      </c>
      <c r="D2">
        <v>2</v>
      </c>
      <c r="E2">
        <v>0</v>
      </c>
      <c r="F2">
        <v>1.6519999999999999</v>
      </c>
      <c r="G2">
        <v>2.3849999999999998</v>
      </c>
      <c r="H2">
        <v>3.7810000000000001</v>
      </c>
      <c r="I2">
        <v>5.5179999999999998</v>
      </c>
      <c r="J2">
        <v>8.61</v>
      </c>
      <c r="K2">
        <v>10.423</v>
      </c>
      <c r="L2">
        <v>9.7880000000000003</v>
      </c>
      <c r="M2">
        <v>8.8059999999999992</v>
      </c>
      <c r="N2">
        <v>7.5629999999999997</v>
      </c>
      <c r="O2">
        <v>6.4139999999999997</v>
      </c>
      <c r="P2">
        <v>5.9390000000000001</v>
      </c>
      <c r="Q2">
        <v>4.2830000000000004</v>
      </c>
      <c r="R2">
        <v>2.4550000000000001</v>
      </c>
      <c r="S2">
        <v>0.93400000000000005</v>
      </c>
      <c r="T2">
        <v>0.32600000000000001</v>
      </c>
      <c r="V2" s="3"/>
      <c r="AA2" s="1"/>
    </row>
    <row r="3" spans="1:36">
      <c r="A3">
        <v>3</v>
      </c>
      <c r="B3">
        <v>1</v>
      </c>
      <c r="C3">
        <v>2</v>
      </c>
      <c r="D3">
        <v>2</v>
      </c>
      <c r="E3">
        <v>0</v>
      </c>
      <c r="F3">
        <v>1.131</v>
      </c>
      <c r="G3">
        <v>1.415</v>
      </c>
      <c r="H3">
        <v>2.169</v>
      </c>
      <c r="I3">
        <v>3.3889999999999998</v>
      </c>
      <c r="J3">
        <v>8.016</v>
      </c>
      <c r="K3">
        <v>7.6040000000000001</v>
      </c>
      <c r="L3">
        <v>6.5410000000000004</v>
      </c>
      <c r="M3">
        <v>5.9210000000000003</v>
      </c>
      <c r="N3">
        <v>4.9710000000000001</v>
      </c>
      <c r="O3">
        <v>4.2320000000000002</v>
      </c>
      <c r="P3">
        <v>4.0839999999999996</v>
      </c>
      <c r="Q3">
        <v>3.9279999999999999</v>
      </c>
      <c r="R3">
        <v>1.841</v>
      </c>
      <c r="S3">
        <v>0.93600000000000005</v>
      </c>
      <c r="T3">
        <v>0.38900000000000001</v>
      </c>
      <c r="V3" s="3"/>
    </row>
    <row r="4" spans="1:36">
      <c r="A4">
        <v>6</v>
      </c>
      <c r="B4">
        <v>1</v>
      </c>
      <c r="C4">
        <v>2</v>
      </c>
      <c r="D4">
        <v>2</v>
      </c>
      <c r="E4">
        <v>0</v>
      </c>
      <c r="F4">
        <v>1.633</v>
      </c>
      <c r="G4">
        <v>2.488</v>
      </c>
      <c r="H4">
        <v>4.1180000000000003</v>
      </c>
      <c r="I4">
        <v>5.85</v>
      </c>
      <c r="J4">
        <v>8.8740000000000006</v>
      </c>
      <c r="K4">
        <v>10.868</v>
      </c>
      <c r="L4">
        <v>9.9429999999999996</v>
      </c>
      <c r="M4">
        <v>8.7390000000000008</v>
      </c>
      <c r="N4">
        <v>7.8140000000000001</v>
      </c>
      <c r="O4">
        <v>6.67</v>
      </c>
      <c r="P4">
        <v>4.0339999999999998</v>
      </c>
      <c r="Q4">
        <v>2.0179999999999998</v>
      </c>
      <c r="R4">
        <v>1.9410000000000001</v>
      </c>
      <c r="S4">
        <v>0.52100000000000002</v>
      </c>
      <c r="T4">
        <v>0.436</v>
      </c>
      <c r="V4" s="3"/>
    </row>
    <row r="5" spans="1:36">
      <c r="A5">
        <v>8</v>
      </c>
      <c r="B5">
        <v>1</v>
      </c>
      <c r="C5">
        <v>2</v>
      </c>
      <c r="D5">
        <v>2</v>
      </c>
      <c r="E5">
        <v>0</v>
      </c>
      <c r="F5">
        <v>1.1040000000000001</v>
      </c>
      <c r="G5">
        <v>1.6970000000000001</v>
      </c>
      <c r="H5">
        <v>2.819</v>
      </c>
      <c r="I5">
        <v>3.988</v>
      </c>
      <c r="J5">
        <v>6.0449999999999999</v>
      </c>
      <c r="K5">
        <v>7.41</v>
      </c>
      <c r="L5">
        <v>8.1199999999999992</v>
      </c>
      <c r="M5">
        <v>6.58</v>
      </c>
      <c r="N5">
        <v>5.3159999999999998</v>
      </c>
      <c r="O5">
        <v>4.53</v>
      </c>
      <c r="P5">
        <v>3.089</v>
      </c>
      <c r="Q5">
        <v>2.93</v>
      </c>
      <c r="R5">
        <v>1.478</v>
      </c>
      <c r="S5">
        <v>0.97</v>
      </c>
      <c r="T5">
        <v>0.314</v>
      </c>
      <c r="V5" s="3"/>
    </row>
    <row r="6" spans="1:36">
      <c r="A6">
        <v>10</v>
      </c>
      <c r="B6">
        <v>1</v>
      </c>
      <c r="C6">
        <v>2</v>
      </c>
      <c r="D6">
        <v>2</v>
      </c>
      <c r="E6">
        <v>0</v>
      </c>
      <c r="F6">
        <v>0.96699999999999997</v>
      </c>
      <c r="G6">
        <v>1.141</v>
      </c>
      <c r="H6">
        <v>1.7010000000000001</v>
      </c>
      <c r="I6">
        <v>2.7490000000000001</v>
      </c>
      <c r="J6">
        <v>4.28</v>
      </c>
      <c r="K6">
        <v>6.25</v>
      </c>
      <c r="L6">
        <v>6.9249999999999998</v>
      </c>
      <c r="M6">
        <v>5.1210000000000004</v>
      </c>
      <c r="N6">
        <v>4.9379999999999997</v>
      </c>
      <c r="O6">
        <v>4.782</v>
      </c>
      <c r="P6">
        <v>4.3239999999999998</v>
      </c>
      <c r="Q6">
        <v>2.9860000000000002</v>
      </c>
      <c r="R6">
        <v>1.1040000000000001</v>
      </c>
      <c r="S6">
        <v>0.80100000000000005</v>
      </c>
      <c r="T6">
        <v>0.45500000000000002</v>
      </c>
      <c r="V6" s="3"/>
    </row>
    <row r="7" spans="1:36">
      <c r="A7">
        <v>12</v>
      </c>
      <c r="B7">
        <v>1</v>
      </c>
      <c r="C7">
        <v>2</v>
      </c>
      <c r="D7">
        <v>2</v>
      </c>
      <c r="E7">
        <v>0</v>
      </c>
      <c r="F7">
        <v>1.456</v>
      </c>
      <c r="G7">
        <v>1.8779999999999999</v>
      </c>
      <c r="H7">
        <v>2.9159999999999999</v>
      </c>
      <c r="I7">
        <v>4.4829999999999997</v>
      </c>
      <c r="J7">
        <v>6.9139999999999997</v>
      </c>
      <c r="K7">
        <v>8.3130000000000006</v>
      </c>
      <c r="L7">
        <v>8.7949999999999999</v>
      </c>
      <c r="M7">
        <v>6.8390000000000004</v>
      </c>
      <c r="N7">
        <v>6.2679999999999998</v>
      </c>
      <c r="O7">
        <v>5.5190000000000001</v>
      </c>
      <c r="P7">
        <v>4.681</v>
      </c>
      <c r="Q7">
        <v>3.1320000000000001</v>
      </c>
      <c r="R7">
        <v>2.524</v>
      </c>
      <c r="S7">
        <v>0.85</v>
      </c>
      <c r="T7">
        <v>0.436</v>
      </c>
      <c r="V7" s="3"/>
      <c r="AE7" s="2"/>
      <c r="AF7" s="2"/>
      <c r="AG7" s="2"/>
      <c r="AH7" s="2"/>
      <c r="AI7" s="2"/>
      <c r="AJ7" s="2"/>
    </row>
    <row r="8" spans="1:36">
      <c r="A8">
        <v>13</v>
      </c>
      <c r="B8">
        <v>1</v>
      </c>
      <c r="C8">
        <v>2</v>
      </c>
      <c r="D8">
        <v>2</v>
      </c>
      <c r="E8">
        <v>0</v>
      </c>
      <c r="F8">
        <v>1.8620000000000001</v>
      </c>
      <c r="G8">
        <v>2.7040000000000002</v>
      </c>
      <c r="H8">
        <v>5.585</v>
      </c>
      <c r="I8">
        <v>6.1660000000000004</v>
      </c>
      <c r="J8">
        <v>10.484999999999999</v>
      </c>
      <c r="K8">
        <v>9.5950000000000006</v>
      </c>
      <c r="L8">
        <v>8.99</v>
      </c>
      <c r="M8">
        <v>8.3710000000000004</v>
      </c>
      <c r="N8">
        <v>7.1660000000000004</v>
      </c>
      <c r="O8">
        <v>5.9269999999999996</v>
      </c>
      <c r="P8">
        <v>5.4950000000000001</v>
      </c>
      <c r="Q8">
        <v>3.76</v>
      </c>
      <c r="R8">
        <v>2.4079999999999999</v>
      </c>
      <c r="S8">
        <v>0.63700000000000001</v>
      </c>
      <c r="T8">
        <v>0.42499999999999999</v>
      </c>
      <c r="V8" s="3"/>
      <c r="AE8" s="2"/>
      <c r="AF8" s="2"/>
      <c r="AG8" s="2"/>
      <c r="AH8" s="1"/>
      <c r="AI8" s="1"/>
      <c r="AJ8" s="1"/>
    </row>
    <row r="9" spans="1:36">
      <c r="A9">
        <v>15</v>
      </c>
      <c r="B9">
        <v>1</v>
      </c>
      <c r="C9">
        <v>2</v>
      </c>
      <c r="D9">
        <v>2</v>
      </c>
      <c r="E9">
        <v>0</v>
      </c>
      <c r="F9">
        <v>1.897</v>
      </c>
      <c r="G9">
        <v>2.8180000000000001</v>
      </c>
      <c r="H9">
        <v>5.2690000000000001</v>
      </c>
      <c r="I9">
        <v>6.524</v>
      </c>
      <c r="J9">
        <v>7.2110000000000003</v>
      </c>
      <c r="K9">
        <v>9.484</v>
      </c>
      <c r="L9">
        <v>10.279</v>
      </c>
      <c r="M9">
        <v>9.2889999999999997</v>
      </c>
      <c r="N9">
        <v>8.1340000000000003</v>
      </c>
      <c r="O9">
        <v>6.8390000000000004</v>
      </c>
      <c r="P9">
        <v>3.0489999999999999</v>
      </c>
      <c r="Q9">
        <v>2.1930000000000001</v>
      </c>
      <c r="R9">
        <v>1.038</v>
      </c>
      <c r="S9">
        <v>0.63300000000000001</v>
      </c>
      <c r="T9">
        <v>0.39700000000000002</v>
      </c>
      <c r="V9" s="3"/>
      <c r="AE9" s="2"/>
      <c r="AF9" s="2"/>
      <c r="AG9" s="2"/>
      <c r="AH9" s="1"/>
      <c r="AI9" s="1"/>
      <c r="AJ9" s="1"/>
    </row>
    <row r="10" spans="1:36">
      <c r="A10">
        <v>18</v>
      </c>
      <c r="B10">
        <v>1</v>
      </c>
      <c r="C10">
        <v>2</v>
      </c>
      <c r="D10">
        <v>2</v>
      </c>
      <c r="E10">
        <v>0</v>
      </c>
      <c r="F10">
        <v>1.4319999999999999</v>
      </c>
      <c r="G10">
        <v>2.1819999999999999</v>
      </c>
      <c r="H10">
        <v>3.6120000000000001</v>
      </c>
      <c r="I10">
        <v>5.13</v>
      </c>
      <c r="J10">
        <v>7.7809999999999997</v>
      </c>
      <c r="K10">
        <v>9.5310000000000006</v>
      </c>
      <c r="L10">
        <v>9.0489999999999995</v>
      </c>
      <c r="M10">
        <v>7.6639999999999997</v>
      </c>
      <c r="N10">
        <v>6.8529999999999998</v>
      </c>
      <c r="O10">
        <v>5.85</v>
      </c>
      <c r="P10">
        <v>4.984</v>
      </c>
      <c r="Q10">
        <v>2.5299999999999998</v>
      </c>
      <c r="R10">
        <v>1.522</v>
      </c>
      <c r="S10">
        <v>0.84699999999999998</v>
      </c>
      <c r="T10">
        <v>0.30599999999999999</v>
      </c>
      <c r="V10" s="3"/>
      <c r="AE10" s="2"/>
      <c r="AF10" s="2"/>
      <c r="AG10" s="2"/>
      <c r="AH10" s="1"/>
      <c r="AI10" s="1"/>
      <c r="AJ10" s="1"/>
    </row>
    <row r="11" spans="1:36">
      <c r="A11">
        <v>20</v>
      </c>
      <c r="B11">
        <v>1</v>
      </c>
      <c r="C11">
        <v>2</v>
      </c>
      <c r="D11">
        <v>2</v>
      </c>
      <c r="E11">
        <v>0</v>
      </c>
      <c r="F11">
        <v>1.1819999999999999</v>
      </c>
      <c r="G11">
        <v>2.3969999999999998</v>
      </c>
      <c r="H11">
        <v>4.0819999999999999</v>
      </c>
      <c r="I11">
        <v>6.3639999999999999</v>
      </c>
      <c r="J11">
        <v>8.2379999999999995</v>
      </c>
      <c r="K11">
        <v>7.2309999999999999</v>
      </c>
      <c r="L11">
        <v>6.859</v>
      </c>
      <c r="M11">
        <v>6.2789999999999999</v>
      </c>
      <c r="N11">
        <v>5.8259999999999996</v>
      </c>
      <c r="O11">
        <v>5.3209999999999997</v>
      </c>
      <c r="P11">
        <v>4.952</v>
      </c>
      <c r="Q11">
        <v>3.0289999999999999</v>
      </c>
      <c r="R11">
        <v>1.038</v>
      </c>
      <c r="S11">
        <v>0.76400000000000001</v>
      </c>
      <c r="T11">
        <v>0.42599999999999999</v>
      </c>
      <c r="V11" s="3"/>
      <c r="AE11" s="2"/>
      <c r="AF11" s="2"/>
      <c r="AG11" s="2"/>
      <c r="AH11" s="1"/>
      <c r="AI11" s="1"/>
      <c r="AJ11" s="1"/>
    </row>
    <row r="12" spans="1:36">
      <c r="A12">
        <v>21</v>
      </c>
      <c r="B12">
        <v>1</v>
      </c>
      <c r="C12">
        <v>2</v>
      </c>
      <c r="D12">
        <v>2</v>
      </c>
      <c r="E12">
        <v>0</v>
      </c>
      <c r="F12">
        <v>0.88600000000000001</v>
      </c>
      <c r="G12">
        <v>1.6859999999999999</v>
      </c>
      <c r="H12">
        <v>2.98</v>
      </c>
      <c r="I12">
        <v>3.8959999999999999</v>
      </c>
      <c r="J12">
        <v>5.7969999999999997</v>
      </c>
      <c r="K12">
        <v>7.2530000000000001</v>
      </c>
      <c r="L12">
        <v>8.0259999999999998</v>
      </c>
      <c r="M12">
        <v>7.9580000000000002</v>
      </c>
      <c r="N12">
        <v>4.93</v>
      </c>
      <c r="O12">
        <v>4.0419999999999998</v>
      </c>
      <c r="P12">
        <v>3.9830000000000001</v>
      </c>
      <c r="Q12">
        <v>1.6519999999999999</v>
      </c>
      <c r="R12">
        <v>1.3640000000000001</v>
      </c>
      <c r="S12">
        <v>0.58699999999999997</v>
      </c>
      <c r="T12">
        <v>0.254</v>
      </c>
      <c r="V12" s="3"/>
      <c r="AE12" s="2"/>
      <c r="AF12" s="2"/>
      <c r="AG12" s="2"/>
      <c r="AH12" s="1"/>
      <c r="AI12" s="1"/>
      <c r="AJ12" s="1"/>
    </row>
    <row r="13" spans="1:36">
      <c r="A13">
        <v>23</v>
      </c>
      <c r="B13">
        <v>1</v>
      </c>
      <c r="C13">
        <v>2</v>
      </c>
      <c r="D13">
        <v>2</v>
      </c>
      <c r="E13">
        <v>0</v>
      </c>
      <c r="F13">
        <v>1.585</v>
      </c>
      <c r="G13">
        <v>2.4159999999999999</v>
      </c>
      <c r="H13">
        <v>4</v>
      </c>
      <c r="I13">
        <v>5.68</v>
      </c>
      <c r="J13">
        <v>8.6159999999999997</v>
      </c>
      <c r="K13">
        <v>10.553000000000001</v>
      </c>
      <c r="L13">
        <v>10.397</v>
      </c>
      <c r="M13">
        <v>8.4860000000000007</v>
      </c>
      <c r="N13">
        <v>7.5880000000000001</v>
      </c>
      <c r="O13">
        <v>6.4770000000000003</v>
      </c>
      <c r="P13">
        <v>4.2430000000000003</v>
      </c>
      <c r="Q13">
        <v>3.1030000000000002</v>
      </c>
      <c r="R13">
        <v>1.028</v>
      </c>
      <c r="S13">
        <v>0.84899999999999998</v>
      </c>
      <c r="T13">
        <v>0.314</v>
      </c>
      <c r="V13" s="3"/>
      <c r="AE13" s="2"/>
      <c r="AF13" s="2"/>
      <c r="AG13" s="2"/>
      <c r="AH13" s="1"/>
      <c r="AI13" s="1"/>
      <c r="AJ13" s="1"/>
    </row>
    <row r="14" spans="1:36">
      <c r="A14">
        <v>1</v>
      </c>
      <c r="B14">
        <v>1</v>
      </c>
      <c r="C14">
        <v>1</v>
      </c>
      <c r="D14">
        <v>1</v>
      </c>
      <c r="E14">
        <v>0</v>
      </c>
      <c r="F14">
        <v>0.66800000000000004</v>
      </c>
      <c r="G14">
        <v>1.3939999999999999</v>
      </c>
      <c r="H14">
        <v>2.52</v>
      </c>
      <c r="I14">
        <v>3.202</v>
      </c>
      <c r="J14">
        <v>4.7309999999999999</v>
      </c>
      <c r="K14">
        <v>5.9660000000000002</v>
      </c>
      <c r="L14">
        <v>6.8570000000000002</v>
      </c>
      <c r="M14">
        <v>6.5190000000000001</v>
      </c>
      <c r="N14">
        <v>3.97</v>
      </c>
      <c r="O14">
        <v>3.202</v>
      </c>
      <c r="P14">
        <v>2.9169999999999998</v>
      </c>
      <c r="Q14">
        <v>1.2849999999999999</v>
      </c>
      <c r="R14">
        <v>0.96899999999999997</v>
      </c>
      <c r="S14">
        <v>0.68300000000000005</v>
      </c>
      <c r="T14">
        <v>0.161</v>
      </c>
      <c r="V14" s="3"/>
      <c r="AE14" s="2"/>
      <c r="AF14" s="2"/>
      <c r="AG14" s="2"/>
      <c r="AH14" s="1"/>
      <c r="AI14" s="1"/>
      <c r="AJ14" s="1"/>
    </row>
    <row r="15" spans="1:36">
      <c r="A15">
        <v>3</v>
      </c>
      <c r="B15">
        <v>1</v>
      </c>
      <c r="C15">
        <v>1</v>
      </c>
      <c r="D15">
        <v>1</v>
      </c>
      <c r="E15">
        <v>0</v>
      </c>
      <c r="F15">
        <v>1.7350000000000001</v>
      </c>
      <c r="G15">
        <v>2.6429999999999998</v>
      </c>
      <c r="H15">
        <v>4.3760000000000003</v>
      </c>
      <c r="I15">
        <v>6.2149999999999999</v>
      </c>
      <c r="J15">
        <v>9.4280000000000008</v>
      </c>
      <c r="K15">
        <v>11.547000000000001</v>
      </c>
      <c r="L15">
        <v>11.377000000000001</v>
      </c>
      <c r="M15">
        <v>9.2850000000000001</v>
      </c>
      <c r="N15">
        <v>8.3030000000000008</v>
      </c>
      <c r="O15">
        <v>7.0869999999999997</v>
      </c>
      <c r="P15">
        <v>4.8330000000000002</v>
      </c>
      <c r="Q15">
        <v>3.0230000000000001</v>
      </c>
      <c r="R15">
        <v>2.31</v>
      </c>
      <c r="S15">
        <v>0.93799999999999994</v>
      </c>
      <c r="T15">
        <v>0.498</v>
      </c>
      <c r="V15" s="3"/>
      <c r="AE15" s="2"/>
      <c r="AF15" s="2"/>
      <c r="AG15" s="2"/>
      <c r="AH15" s="1"/>
      <c r="AI15" s="1"/>
      <c r="AJ15" s="1"/>
    </row>
    <row r="16" spans="1:36">
      <c r="A16">
        <v>6</v>
      </c>
      <c r="B16">
        <v>1</v>
      </c>
      <c r="C16">
        <v>1</v>
      </c>
      <c r="D16">
        <v>1</v>
      </c>
      <c r="E16">
        <v>0</v>
      </c>
      <c r="F16">
        <v>1.1399999999999999</v>
      </c>
      <c r="G16">
        <v>2.73</v>
      </c>
      <c r="H16">
        <v>4.8609999999999998</v>
      </c>
      <c r="I16">
        <v>6.07</v>
      </c>
      <c r="J16">
        <v>8.1760000000000002</v>
      </c>
      <c r="K16">
        <v>7.5609999999999999</v>
      </c>
      <c r="L16">
        <v>6.2649999999999997</v>
      </c>
      <c r="M16">
        <v>5.3949999999999996</v>
      </c>
      <c r="N16">
        <v>5.4429999999999996</v>
      </c>
      <c r="O16">
        <v>4.649</v>
      </c>
      <c r="P16">
        <v>3.1709999999999998</v>
      </c>
      <c r="Q16">
        <v>1.9850000000000001</v>
      </c>
      <c r="R16">
        <v>1.514</v>
      </c>
      <c r="S16">
        <v>0.54</v>
      </c>
      <c r="T16">
        <v>0.44</v>
      </c>
      <c r="V16" s="3"/>
      <c r="AE16" s="2"/>
      <c r="AF16" s="2"/>
      <c r="AG16" s="2"/>
      <c r="AH16" s="1"/>
      <c r="AI16" s="1"/>
      <c r="AJ16" s="1"/>
    </row>
    <row r="17" spans="1:36">
      <c r="A17">
        <v>8</v>
      </c>
      <c r="B17">
        <v>1</v>
      </c>
      <c r="C17">
        <v>1</v>
      </c>
      <c r="D17">
        <v>1</v>
      </c>
      <c r="E17">
        <v>0</v>
      </c>
      <c r="F17">
        <v>0.99299999999999999</v>
      </c>
      <c r="G17">
        <v>1.284</v>
      </c>
      <c r="H17">
        <v>2.7730000000000001</v>
      </c>
      <c r="I17">
        <v>4.7839999999999998</v>
      </c>
      <c r="J17">
        <v>6.9260000000000002</v>
      </c>
      <c r="K17">
        <v>6.1959999999999997</v>
      </c>
      <c r="L17">
        <v>5.5250000000000004</v>
      </c>
      <c r="M17">
        <v>4.7190000000000003</v>
      </c>
      <c r="N17">
        <v>4.17</v>
      </c>
      <c r="O17">
        <v>3.36</v>
      </c>
      <c r="P17">
        <v>2.4430000000000001</v>
      </c>
      <c r="Q17">
        <v>1.639</v>
      </c>
      <c r="R17">
        <v>1.0409999999999999</v>
      </c>
      <c r="S17">
        <v>0.67700000000000005</v>
      </c>
      <c r="T17">
        <v>0.29199999999999998</v>
      </c>
      <c r="V17" s="3"/>
      <c r="AE17" s="2"/>
      <c r="AF17" s="2"/>
      <c r="AG17" s="2"/>
      <c r="AH17" s="1"/>
      <c r="AI17" s="1"/>
      <c r="AJ17" s="1"/>
    </row>
    <row r="18" spans="1:36">
      <c r="A18">
        <v>10</v>
      </c>
      <c r="B18">
        <v>1</v>
      </c>
      <c r="C18">
        <v>1</v>
      </c>
      <c r="D18">
        <v>1</v>
      </c>
      <c r="E18">
        <v>0</v>
      </c>
      <c r="F18">
        <v>1.0489999999999999</v>
      </c>
      <c r="G18">
        <v>1.399</v>
      </c>
      <c r="H18">
        <v>1.8819999999999999</v>
      </c>
      <c r="I18">
        <v>2.9260000000000002</v>
      </c>
      <c r="J18">
        <v>4.181</v>
      </c>
      <c r="K18">
        <v>5.12</v>
      </c>
      <c r="L18">
        <v>5.9870000000000001</v>
      </c>
      <c r="M18">
        <v>5.5709999999999997</v>
      </c>
      <c r="N18">
        <v>4.1790000000000003</v>
      </c>
      <c r="O18">
        <v>3.45</v>
      </c>
      <c r="P18">
        <v>2.4830000000000001</v>
      </c>
      <c r="Q18">
        <v>1.6140000000000001</v>
      </c>
      <c r="R18">
        <v>1.0649999999999999</v>
      </c>
      <c r="S18">
        <v>0.51400000000000001</v>
      </c>
      <c r="T18">
        <v>0.23</v>
      </c>
      <c r="V18" s="3"/>
      <c r="AE18" s="2"/>
      <c r="AF18" s="2"/>
      <c r="AG18" s="2"/>
      <c r="AH18" s="1"/>
      <c r="AI18" s="1"/>
      <c r="AJ18" s="1"/>
    </row>
    <row r="19" spans="1:36">
      <c r="A19">
        <v>12</v>
      </c>
      <c r="B19">
        <v>1</v>
      </c>
      <c r="C19">
        <v>1</v>
      </c>
      <c r="D19">
        <v>1</v>
      </c>
      <c r="E19">
        <v>0</v>
      </c>
      <c r="F19">
        <v>1.736</v>
      </c>
      <c r="G19">
        <v>2.5790000000000002</v>
      </c>
      <c r="H19">
        <v>4.8209999999999997</v>
      </c>
      <c r="I19">
        <v>5.9690000000000003</v>
      </c>
      <c r="J19">
        <v>9.6170000000000009</v>
      </c>
      <c r="K19">
        <v>10.166</v>
      </c>
      <c r="L19">
        <v>9.4060000000000006</v>
      </c>
      <c r="M19">
        <v>8.5009999999999994</v>
      </c>
      <c r="N19">
        <v>7.4420000000000002</v>
      </c>
      <c r="O19">
        <v>6.258</v>
      </c>
      <c r="P19">
        <v>5.2409999999999997</v>
      </c>
      <c r="Q19">
        <v>3.7989999999999999</v>
      </c>
      <c r="R19">
        <v>2.59</v>
      </c>
      <c r="S19">
        <v>0.93799999999999994</v>
      </c>
      <c r="T19">
        <v>0.42499999999999999</v>
      </c>
      <c r="V19" s="3"/>
      <c r="AE19" s="2"/>
      <c r="AF19" s="2"/>
      <c r="AG19" s="2"/>
      <c r="AH19" s="1"/>
      <c r="AI19" s="1"/>
      <c r="AJ19" s="1"/>
    </row>
    <row r="20" spans="1:36">
      <c r="A20">
        <v>13</v>
      </c>
      <c r="B20">
        <v>1</v>
      </c>
      <c r="C20">
        <v>1</v>
      </c>
      <c r="D20">
        <v>1</v>
      </c>
      <c r="E20">
        <v>0</v>
      </c>
      <c r="F20">
        <v>0.66800000000000004</v>
      </c>
      <c r="G20">
        <v>1.3939999999999999</v>
      </c>
      <c r="H20">
        <v>2.52</v>
      </c>
      <c r="I20">
        <v>3.202</v>
      </c>
      <c r="J20">
        <v>4.7309999999999999</v>
      </c>
      <c r="K20">
        <v>5.9660000000000002</v>
      </c>
      <c r="L20">
        <v>6.8570000000000002</v>
      </c>
      <c r="M20">
        <v>6.5190000000000001</v>
      </c>
      <c r="N20">
        <v>3.97</v>
      </c>
      <c r="O20">
        <v>3.202</v>
      </c>
      <c r="P20">
        <v>2.9820000000000002</v>
      </c>
      <c r="Q20">
        <v>2.585</v>
      </c>
      <c r="R20">
        <v>0.76900000000000002</v>
      </c>
      <c r="S20">
        <v>0.68300000000000005</v>
      </c>
      <c r="T20">
        <v>0.161</v>
      </c>
      <c r="V20" s="3"/>
      <c r="AE20" s="2"/>
      <c r="AF20" s="2"/>
      <c r="AG20" s="2"/>
      <c r="AH20" s="1"/>
      <c r="AI20" s="1"/>
      <c r="AJ20" s="1"/>
    </row>
    <row r="21" spans="1:36">
      <c r="A21">
        <v>15</v>
      </c>
      <c r="B21">
        <v>1</v>
      </c>
      <c r="C21">
        <v>1</v>
      </c>
      <c r="D21">
        <v>1</v>
      </c>
      <c r="E21">
        <v>0</v>
      </c>
      <c r="F21">
        <v>1.7350000000000001</v>
      </c>
      <c r="G21">
        <v>2.6429999999999998</v>
      </c>
      <c r="H21">
        <v>4.3760000000000003</v>
      </c>
      <c r="I21">
        <v>6.2149999999999999</v>
      </c>
      <c r="J21">
        <v>9.4280000000000008</v>
      </c>
      <c r="K21">
        <v>11.547000000000001</v>
      </c>
      <c r="L21">
        <v>10.377000000000001</v>
      </c>
      <c r="M21">
        <v>9.2850000000000001</v>
      </c>
      <c r="N21">
        <v>8.3030000000000008</v>
      </c>
      <c r="O21">
        <v>7.0869999999999997</v>
      </c>
      <c r="P21">
        <v>4.8330000000000002</v>
      </c>
      <c r="Q21">
        <v>3.0230000000000001</v>
      </c>
      <c r="R21">
        <v>2.31</v>
      </c>
      <c r="S21">
        <v>0.89800000000000002</v>
      </c>
      <c r="T21">
        <v>0.46</v>
      </c>
      <c r="V21" s="3"/>
      <c r="AE21" s="2"/>
      <c r="AF21" s="2"/>
      <c r="AG21" s="2"/>
      <c r="AH21" s="1"/>
      <c r="AI21" s="1"/>
      <c r="AJ21" s="1"/>
    </row>
    <row r="22" spans="1:36">
      <c r="A22">
        <v>18</v>
      </c>
      <c r="B22">
        <v>1</v>
      </c>
      <c r="C22">
        <v>1</v>
      </c>
      <c r="D22">
        <v>1</v>
      </c>
      <c r="E22">
        <v>0</v>
      </c>
      <c r="F22">
        <v>1.1399999999999999</v>
      </c>
      <c r="G22">
        <v>2.73</v>
      </c>
      <c r="H22">
        <v>6.8609999999999998</v>
      </c>
      <c r="I22">
        <v>8.07</v>
      </c>
      <c r="J22">
        <v>7.7759999999999998</v>
      </c>
      <c r="K22">
        <v>6.5609999999999999</v>
      </c>
      <c r="L22">
        <v>5.9649999999999999</v>
      </c>
      <c r="M22">
        <v>5.3949999999999996</v>
      </c>
      <c r="N22">
        <v>4.843</v>
      </c>
      <c r="O22">
        <v>4.149</v>
      </c>
      <c r="P22">
        <v>3.1709999999999998</v>
      </c>
      <c r="Q22">
        <v>1.9850000000000001</v>
      </c>
      <c r="R22">
        <v>1.514</v>
      </c>
      <c r="S22">
        <v>0.54</v>
      </c>
      <c r="T22">
        <v>0.44</v>
      </c>
      <c r="V22" s="3"/>
      <c r="AE22" s="2"/>
      <c r="AF22" s="2"/>
      <c r="AG22" s="2"/>
      <c r="AH22" s="1"/>
      <c r="AI22" s="1"/>
      <c r="AJ22" s="1"/>
    </row>
    <row r="23" spans="1:36">
      <c r="A23">
        <v>20</v>
      </c>
      <c r="B23">
        <v>1</v>
      </c>
      <c r="C23">
        <v>1</v>
      </c>
      <c r="D23">
        <v>1</v>
      </c>
      <c r="E23">
        <v>0</v>
      </c>
      <c r="F23">
        <v>0.75700000000000001</v>
      </c>
      <c r="G23">
        <v>1.58</v>
      </c>
      <c r="H23">
        <v>2.8580000000000001</v>
      </c>
      <c r="I23">
        <v>3.6309999999999998</v>
      </c>
      <c r="J23">
        <v>5.3650000000000002</v>
      </c>
      <c r="K23">
        <v>6.7649999999999997</v>
      </c>
      <c r="L23">
        <v>7.7759999999999998</v>
      </c>
      <c r="M23">
        <v>7.3920000000000003</v>
      </c>
      <c r="N23">
        <v>4.5010000000000003</v>
      </c>
      <c r="O23">
        <v>3.6309999999999998</v>
      </c>
      <c r="P23">
        <v>2.8460000000000001</v>
      </c>
      <c r="Q23">
        <v>1.6819999999999999</v>
      </c>
      <c r="R23">
        <v>0.94099999999999995</v>
      </c>
      <c r="S23">
        <v>0.56200000000000006</v>
      </c>
      <c r="T23">
        <v>0.182</v>
      </c>
      <c r="V23" s="3"/>
      <c r="AE23" s="2"/>
      <c r="AF23" s="2"/>
      <c r="AG23" s="2"/>
      <c r="AH23" s="1"/>
      <c r="AI23" s="1"/>
      <c r="AJ23" s="1"/>
    </row>
    <row r="24" spans="1:36">
      <c r="A24">
        <v>21</v>
      </c>
      <c r="B24">
        <v>1</v>
      </c>
      <c r="C24">
        <v>1</v>
      </c>
      <c r="D24">
        <v>1</v>
      </c>
      <c r="E24">
        <v>0</v>
      </c>
      <c r="F24">
        <v>1.68</v>
      </c>
      <c r="G24">
        <v>2.56</v>
      </c>
      <c r="H24">
        <v>4.2389999999999999</v>
      </c>
      <c r="I24">
        <v>6.02</v>
      </c>
      <c r="J24">
        <v>9.1310000000000002</v>
      </c>
      <c r="K24">
        <v>11.183999999999999</v>
      </c>
      <c r="L24">
        <v>11.019</v>
      </c>
      <c r="M24">
        <v>8.9930000000000003</v>
      </c>
      <c r="N24">
        <v>8.0419999999999998</v>
      </c>
      <c r="O24">
        <v>6.8639999999999999</v>
      </c>
      <c r="P24">
        <v>4.7779999999999996</v>
      </c>
      <c r="Q24">
        <v>2.9889999999999999</v>
      </c>
      <c r="R24">
        <v>1.927</v>
      </c>
      <c r="S24">
        <v>0.52400000000000002</v>
      </c>
      <c r="T24">
        <v>0.46500000000000002</v>
      </c>
      <c r="V24" s="3"/>
      <c r="AE24" s="2"/>
      <c r="AF24" s="2"/>
      <c r="AG24" s="2"/>
      <c r="AH24" s="1"/>
      <c r="AI24" s="1"/>
      <c r="AJ24" s="1"/>
    </row>
    <row r="25" spans="1:36">
      <c r="A25">
        <v>23</v>
      </c>
      <c r="B25">
        <v>1</v>
      </c>
      <c r="C25">
        <v>1</v>
      </c>
      <c r="D25">
        <v>1</v>
      </c>
      <c r="E25">
        <v>0</v>
      </c>
      <c r="F25">
        <v>1.268</v>
      </c>
      <c r="G25">
        <v>1.704</v>
      </c>
      <c r="H25">
        <v>3.3860000000000001</v>
      </c>
      <c r="I25">
        <v>4.8559999999999999</v>
      </c>
      <c r="J25">
        <v>8.2349999999999994</v>
      </c>
      <c r="K25">
        <v>7.5339999999999998</v>
      </c>
      <c r="L25">
        <v>6.7679999999999998</v>
      </c>
      <c r="M25">
        <v>6.0460000000000003</v>
      </c>
      <c r="N25">
        <v>5.2149999999999999</v>
      </c>
      <c r="O25">
        <v>4.3</v>
      </c>
      <c r="P25">
        <v>3.4249999999999998</v>
      </c>
      <c r="Q25">
        <v>2.2919999999999998</v>
      </c>
      <c r="R25">
        <v>1.6160000000000001</v>
      </c>
      <c r="S25">
        <v>0.68899999999999995</v>
      </c>
      <c r="T25">
        <v>0.316</v>
      </c>
      <c r="V25" s="3"/>
      <c r="AE25" s="2"/>
      <c r="AF25" s="2"/>
      <c r="AG25" s="2"/>
      <c r="AH25" s="1"/>
      <c r="AI25" s="1"/>
      <c r="AJ25" s="1"/>
    </row>
    <row r="26" spans="1:36">
      <c r="A26">
        <v>2</v>
      </c>
      <c r="B26">
        <v>2</v>
      </c>
      <c r="C26">
        <v>2</v>
      </c>
      <c r="D26">
        <v>1</v>
      </c>
      <c r="E26">
        <v>0</v>
      </c>
      <c r="F26">
        <v>1.032</v>
      </c>
      <c r="G26">
        <v>2.2189999999999999</v>
      </c>
      <c r="H26">
        <v>3.8180000000000001</v>
      </c>
      <c r="I26">
        <v>4.9379999999999997</v>
      </c>
      <c r="J26">
        <v>6.5750000000000002</v>
      </c>
      <c r="K26">
        <v>5.9409999999999998</v>
      </c>
      <c r="L26">
        <v>5.24</v>
      </c>
      <c r="M26">
        <v>4.9710000000000001</v>
      </c>
      <c r="N26">
        <v>4.343</v>
      </c>
      <c r="O26">
        <v>4.1269999999999998</v>
      </c>
      <c r="P26">
        <v>3.4159999999999999</v>
      </c>
      <c r="Q26">
        <v>2.8170000000000002</v>
      </c>
      <c r="R26">
        <v>1.18</v>
      </c>
      <c r="S26">
        <v>0.76700000000000002</v>
      </c>
      <c r="T26">
        <v>0.32200000000000001</v>
      </c>
      <c r="V26" s="3"/>
      <c r="AE26" s="2"/>
      <c r="AF26" s="2"/>
      <c r="AG26" s="2"/>
      <c r="AH26" s="1"/>
      <c r="AI26" s="1"/>
      <c r="AJ26" s="1"/>
    </row>
    <row r="27" spans="1:36">
      <c r="A27">
        <v>4</v>
      </c>
      <c r="B27">
        <v>2</v>
      </c>
      <c r="C27">
        <v>2</v>
      </c>
      <c r="D27">
        <v>1</v>
      </c>
      <c r="E27">
        <v>0</v>
      </c>
      <c r="F27">
        <v>1.2290000000000001</v>
      </c>
      <c r="G27">
        <v>1.899</v>
      </c>
      <c r="H27">
        <v>2.262</v>
      </c>
      <c r="I27">
        <v>3.3330000000000002</v>
      </c>
      <c r="J27">
        <v>4.1079999999999997</v>
      </c>
      <c r="K27">
        <v>5.5369999999999999</v>
      </c>
      <c r="L27">
        <v>6.1189999999999998</v>
      </c>
      <c r="M27">
        <v>5.6820000000000004</v>
      </c>
      <c r="N27">
        <v>4.758</v>
      </c>
      <c r="O27">
        <v>4.3250000000000002</v>
      </c>
      <c r="P27">
        <v>3.9220000000000002</v>
      </c>
      <c r="Q27">
        <v>2.8460000000000001</v>
      </c>
      <c r="R27">
        <v>1.0289999999999999</v>
      </c>
      <c r="S27">
        <v>0.56699999999999995</v>
      </c>
      <c r="T27">
        <v>0.1</v>
      </c>
      <c r="V27" s="3"/>
      <c r="AE27" s="2"/>
      <c r="AF27" s="2"/>
      <c r="AG27" s="2"/>
      <c r="AH27" s="1"/>
      <c r="AI27" s="1"/>
      <c r="AJ27" s="1"/>
    </row>
    <row r="28" spans="1:36">
      <c r="A28">
        <v>5</v>
      </c>
      <c r="B28">
        <v>2</v>
      </c>
      <c r="C28">
        <v>2</v>
      </c>
      <c r="D28">
        <v>1</v>
      </c>
      <c r="E28">
        <v>0</v>
      </c>
      <c r="F28">
        <v>1.0469999999999999</v>
      </c>
      <c r="G28">
        <v>1.294</v>
      </c>
      <c r="H28">
        <v>1.8560000000000001</v>
      </c>
      <c r="I28">
        <v>2.9569999999999999</v>
      </c>
      <c r="J28">
        <v>4.5309999999999997</v>
      </c>
      <c r="K28">
        <v>5.5490000000000004</v>
      </c>
      <c r="L28">
        <v>7.88</v>
      </c>
      <c r="M28">
        <v>6.923</v>
      </c>
      <c r="N28">
        <v>5.8659999999999997</v>
      </c>
      <c r="O28">
        <v>4.9370000000000003</v>
      </c>
      <c r="P28">
        <v>4.7830000000000004</v>
      </c>
      <c r="Q28">
        <v>3.2919999999999998</v>
      </c>
      <c r="R28">
        <v>1.1479999999999999</v>
      </c>
      <c r="S28">
        <v>0.746</v>
      </c>
      <c r="T28">
        <v>0.317</v>
      </c>
      <c r="V28" s="3"/>
      <c r="AE28" s="2"/>
      <c r="AF28" s="2"/>
      <c r="AG28" s="2"/>
      <c r="AH28" s="1"/>
      <c r="AI28" s="1"/>
      <c r="AJ28" s="1"/>
    </row>
    <row r="29" spans="1:36">
      <c r="A29">
        <v>7</v>
      </c>
      <c r="B29">
        <v>2</v>
      </c>
      <c r="C29">
        <v>2</v>
      </c>
      <c r="D29">
        <v>1</v>
      </c>
      <c r="E29">
        <v>0</v>
      </c>
      <c r="F29">
        <v>1.569</v>
      </c>
      <c r="G29">
        <v>2.1379999999999999</v>
      </c>
      <c r="H29">
        <v>4.9790000000000001</v>
      </c>
      <c r="I29">
        <v>6.5039999999999996</v>
      </c>
      <c r="J29">
        <v>9.8840000000000003</v>
      </c>
      <c r="K29">
        <v>8.4239999999999995</v>
      </c>
      <c r="L29">
        <v>7.9870000000000001</v>
      </c>
      <c r="M29">
        <v>7.2519999999999998</v>
      </c>
      <c r="N29">
        <v>6.992</v>
      </c>
      <c r="O29">
        <v>5.0919999999999996</v>
      </c>
      <c r="P29">
        <v>4.1589999999999998</v>
      </c>
      <c r="Q29">
        <v>3.2530000000000001</v>
      </c>
      <c r="R29">
        <v>1.9510000000000001</v>
      </c>
      <c r="S29">
        <v>0.999</v>
      </c>
      <c r="T29">
        <v>0.41599999999999998</v>
      </c>
      <c r="V29" s="3"/>
      <c r="AE29" s="2"/>
      <c r="AF29" s="2"/>
      <c r="AG29" s="2"/>
      <c r="AH29" s="1"/>
      <c r="AI29" s="1"/>
      <c r="AJ29" s="1"/>
    </row>
    <row r="30" spans="1:36">
      <c r="A30">
        <v>9</v>
      </c>
      <c r="B30">
        <v>2</v>
      </c>
      <c r="C30">
        <v>2</v>
      </c>
      <c r="D30">
        <v>1</v>
      </c>
      <c r="E30">
        <v>0</v>
      </c>
      <c r="F30">
        <v>1.0820000000000001</v>
      </c>
      <c r="G30">
        <v>1.8180000000000001</v>
      </c>
      <c r="H30">
        <v>2.9929999999999999</v>
      </c>
      <c r="I30">
        <v>4.1639999999999997</v>
      </c>
      <c r="J30">
        <v>7.2949999999999999</v>
      </c>
      <c r="K30">
        <v>6.7729999999999997</v>
      </c>
      <c r="L30">
        <v>5.891</v>
      </c>
      <c r="M30">
        <v>5.4470000000000001</v>
      </c>
      <c r="N30">
        <v>4.657</v>
      </c>
      <c r="O30">
        <v>4.1790000000000003</v>
      </c>
      <c r="P30">
        <v>3.75</v>
      </c>
      <c r="Q30">
        <v>3.3719999999999999</v>
      </c>
      <c r="R30">
        <v>1.51</v>
      </c>
      <c r="S30">
        <v>0.85199999999999998</v>
      </c>
      <c r="T30">
        <v>0.35499999999999998</v>
      </c>
      <c r="V30" s="3"/>
      <c r="AE30" s="2"/>
      <c r="AF30" s="2"/>
      <c r="AG30" s="2"/>
      <c r="AH30" s="1"/>
      <c r="AI30" s="1"/>
      <c r="AJ30" s="1"/>
    </row>
    <row r="31" spans="1:36">
      <c r="A31">
        <v>11</v>
      </c>
      <c r="B31">
        <v>2</v>
      </c>
      <c r="C31">
        <v>2</v>
      </c>
      <c r="D31">
        <v>1</v>
      </c>
      <c r="E31">
        <v>0</v>
      </c>
      <c r="F31">
        <v>1.6259999999999999</v>
      </c>
      <c r="G31">
        <v>2.4769999999999999</v>
      </c>
      <c r="H31">
        <v>4.101</v>
      </c>
      <c r="I31">
        <v>5.8239999999999998</v>
      </c>
      <c r="J31">
        <v>8.8339999999999996</v>
      </c>
      <c r="K31">
        <v>10.82</v>
      </c>
      <c r="L31">
        <v>10.661</v>
      </c>
      <c r="M31">
        <v>8.6999999999999993</v>
      </c>
      <c r="N31">
        <v>7.78</v>
      </c>
      <c r="O31">
        <v>6.641</v>
      </c>
      <c r="P31">
        <v>4.8689999999999998</v>
      </c>
      <c r="Q31">
        <v>3.9929999999999999</v>
      </c>
      <c r="R31">
        <v>2.6539999999999999</v>
      </c>
      <c r="S31">
        <v>0.78400000000000003</v>
      </c>
      <c r="T31">
        <v>0.14199999999999999</v>
      </c>
      <c r="V31" s="3"/>
      <c r="AE31" s="2"/>
      <c r="AF31" s="2"/>
      <c r="AG31" s="2"/>
      <c r="AH31" s="1"/>
      <c r="AI31" s="1"/>
      <c r="AJ31" s="1"/>
    </row>
    <row r="32" spans="1:36">
      <c r="A32">
        <v>14</v>
      </c>
      <c r="B32">
        <v>2</v>
      </c>
      <c r="C32">
        <v>2</v>
      </c>
      <c r="D32">
        <v>1</v>
      </c>
      <c r="E32">
        <v>0</v>
      </c>
      <c r="F32">
        <v>1.653</v>
      </c>
      <c r="G32">
        <v>2.327</v>
      </c>
      <c r="H32">
        <v>3.5529999999999999</v>
      </c>
      <c r="I32">
        <v>5.274</v>
      </c>
      <c r="J32">
        <v>7.6340000000000003</v>
      </c>
      <c r="K32">
        <v>9.3309999999999995</v>
      </c>
      <c r="L32">
        <v>8.5229999999999997</v>
      </c>
      <c r="M32">
        <v>7.8470000000000004</v>
      </c>
      <c r="N32">
        <v>6.7290000000000001</v>
      </c>
      <c r="O32">
        <v>5.4020000000000001</v>
      </c>
      <c r="P32">
        <v>4.4089999999999998</v>
      </c>
      <c r="Q32">
        <v>3.2610000000000001</v>
      </c>
      <c r="R32">
        <v>2.2280000000000002</v>
      </c>
      <c r="S32">
        <v>1.2190000000000001</v>
      </c>
      <c r="T32">
        <v>0.34599999999999997</v>
      </c>
      <c r="V32" s="3"/>
      <c r="AE32" s="2"/>
      <c r="AF32" s="2"/>
      <c r="AG32" s="2"/>
      <c r="AH32" s="1"/>
      <c r="AI32" s="1"/>
      <c r="AJ32" s="1"/>
    </row>
    <row r="33" spans="1:36">
      <c r="A33">
        <v>16</v>
      </c>
      <c r="B33">
        <v>2</v>
      </c>
      <c r="C33">
        <v>2</v>
      </c>
      <c r="D33">
        <v>1</v>
      </c>
      <c r="E33">
        <v>0</v>
      </c>
      <c r="F33">
        <v>1.21</v>
      </c>
      <c r="G33">
        <v>2.4950000000000001</v>
      </c>
      <c r="H33">
        <v>4.1449999999999996</v>
      </c>
      <c r="I33">
        <v>6.1680000000000001</v>
      </c>
      <c r="J33">
        <v>7.2359999999999998</v>
      </c>
      <c r="K33">
        <v>6.4119999999999999</v>
      </c>
      <c r="L33">
        <v>5.6669999999999998</v>
      </c>
      <c r="M33">
        <v>5.16</v>
      </c>
      <c r="N33">
        <v>4.3650000000000002</v>
      </c>
      <c r="O33">
        <v>3.2589999999999999</v>
      </c>
      <c r="P33">
        <v>2.9980000000000002</v>
      </c>
      <c r="Q33">
        <v>1.9850000000000001</v>
      </c>
      <c r="R33">
        <v>1.327</v>
      </c>
      <c r="S33">
        <v>0.54400000000000004</v>
      </c>
      <c r="T33">
        <v>0.36599999999999999</v>
      </c>
      <c r="V33" s="3"/>
      <c r="AE33" s="2"/>
      <c r="AF33" s="2"/>
      <c r="AG33" s="2"/>
      <c r="AH33" s="1"/>
      <c r="AI33" s="1"/>
      <c r="AJ33" s="1"/>
    </row>
    <row r="34" spans="1:36">
      <c r="A34">
        <v>17</v>
      </c>
      <c r="B34">
        <v>2</v>
      </c>
      <c r="C34">
        <v>2</v>
      </c>
      <c r="D34">
        <v>1</v>
      </c>
      <c r="E34">
        <v>0</v>
      </c>
      <c r="F34">
        <v>1.0149999999999999</v>
      </c>
      <c r="G34">
        <v>1.23</v>
      </c>
      <c r="H34">
        <v>1.7949999999999999</v>
      </c>
      <c r="I34">
        <v>2.8780000000000001</v>
      </c>
      <c r="J34">
        <v>4.4429999999999996</v>
      </c>
      <c r="K34">
        <v>5.266</v>
      </c>
      <c r="L34">
        <v>6.032</v>
      </c>
      <c r="M34">
        <v>5.9020000000000001</v>
      </c>
      <c r="N34">
        <v>4.9589999999999996</v>
      </c>
      <c r="O34">
        <v>4.5620000000000003</v>
      </c>
      <c r="P34">
        <v>3.927</v>
      </c>
      <c r="Q34">
        <v>1.6619999999999999</v>
      </c>
      <c r="R34">
        <v>1.135</v>
      </c>
      <c r="S34">
        <v>0.56599999999999995</v>
      </c>
      <c r="T34">
        <v>0.312</v>
      </c>
      <c r="V34" s="3"/>
      <c r="AE34" s="2"/>
      <c r="AF34" s="2"/>
      <c r="AG34" s="2"/>
      <c r="AH34" s="1"/>
      <c r="AI34" s="1"/>
      <c r="AJ34" s="1"/>
    </row>
    <row r="35" spans="1:36">
      <c r="A35">
        <v>19</v>
      </c>
      <c r="B35">
        <v>2</v>
      </c>
      <c r="C35">
        <v>2</v>
      </c>
      <c r="D35">
        <v>1</v>
      </c>
      <c r="E35">
        <v>0</v>
      </c>
      <c r="F35">
        <v>1.0229999999999999</v>
      </c>
      <c r="G35">
        <v>1.3540000000000001</v>
      </c>
      <c r="H35">
        <v>2.1240000000000001</v>
      </c>
      <c r="I35">
        <v>3.2240000000000002</v>
      </c>
      <c r="J35">
        <v>4.9580000000000002</v>
      </c>
      <c r="K35">
        <v>5.9029999999999996</v>
      </c>
      <c r="L35">
        <v>7.5819999999999999</v>
      </c>
      <c r="M35">
        <v>6.117</v>
      </c>
      <c r="N35">
        <v>4.4109999999999996</v>
      </c>
      <c r="O35">
        <v>4.22</v>
      </c>
      <c r="P35">
        <v>4.032</v>
      </c>
      <c r="Q35">
        <v>3.6</v>
      </c>
      <c r="R35">
        <v>2.819</v>
      </c>
      <c r="S35">
        <v>1.0029999999999999</v>
      </c>
      <c r="T35">
        <v>0.3</v>
      </c>
      <c r="V35" s="3"/>
      <c r="AE35" s="2"/>
      <c r="AF35" s="2"/>
      <c r="AG35" s="2"/>
      <c r="AH35" s="1"/>
      <c r="AI35" s="1"/>
      <c r="AJ35" s="1"/>
    </row>
    <row r="36" spans="1:36">
      <c r="A36">
        <v>22</v>
      </c>
      <c r="B36">
        <v>2</v>
      </c>
      <c r="C36">
        <v>2</v>
      </c>
      <c r="D36">
        <v>1</v>
      </c>
      <c r="E36">
        <v>0</v>
      </c>
      <c r="F36">
        <v>0.97799999999999998</v>
      </c>
      <c r="G36">
        <v>2.355</v>
      </c>
      <c r="H36">
        <v>3.4220000000000002</v>
      </c>
      <c r="I36">
        <v>5.7830000000000004</v>
      </c>
      <c r="J36">
        <v>7.3330000000000002</v>
      </c>
      <c r="K36">
        <v>6.7539999999999996</v>
      </c>
      <c r="L36">
        <v>6.1429999999999998</v>
      </c>
      <c r="M36">
        <v>5.6239999999999997</v>
      </c>
      <c r="N36">
        <v>5.1970000000000001</v>
      </c>
      <c r="O36">
        <v>4.8380000000000001</v>
      </c>
      <c r="P36">
        <v>3.9740000000000002</v>
      </c>
      <c r="Q36">
        <v>2.8180000000000001</v>
      </c>
      <c r="R36">
        <v>1.1180000000000001</v>
      </c>
      <c r="S36">
        <v>0.67500000000000004</v>
      </c>
      <c r="T36">
        <v>0.46200000000000002</v>
      </c>
      <c r="V36" s="3"/>
      <c r="AE36" s="2"/>
      <c r="AF36" s="2"/>
      <c r="AG36" s="2"/>
      <c r="AH36" s="1"/>
      <c r="AI36" s="1"/>
      <c r="AJ36" s="1"/>
    </row>
    <row r="37" spans="1:36">
      <c r="A37">
        <v>24</v>
      </c>
      <c r="B37">
        <v>2</v>
      </c>
      <c r="C37">
        <v>2</v>
      </c>
      <c r="D37">
        <v>1</v>
      </c>
      <c r="E37">
        <v>0</v>
      </c>
      <c r="F37">
        <v>1.349</v>
      </c>
      <c r="G37">
        <v>2.5179999999999998</v>
      </c>
      <c r="H37">
        <v>4.3840000000000003</v>
      </c>
      <c r="I37">
        <v>6.0389999999999997</v>
      </c>
      <c r="J37">
        <v>8.3510000000000009</v>
      </c>
      <c r="K37">
        <v>7.5869999999999997</v>
      </c>
      <c r="L37">
        <v>6.9329999999999998</v>
      </c>
      <c r="M37">
        <v>6.3849999999999998</v>
      </c>
      <c r="N37">
        <v>5.5759999999999996</v>
      </c>
      <c r="O37">
        <v>4.6749999999999998</v>
      </c>
      <c r="P37">
        <v>4.1559999999999997</v>
      </c>
      <c r="Q37">
        <v>2.8540000000000001</v>
      </c>
      <c r="R37">
        <v>1.617</v>
      </c>
      <c r="S37">
        <v>0.61799999999999999</v>
      </c>
      <c r="T37">
        <v>0.41799999999999998</v>
      </c>
      <c r="V37" s="3"/>
      <c r="AE37" s="2"/>
      <c r="AF37" s="2"/>
      <c r="AG37" s="2"/>
      <c r="AH37" s="1"/>
      <c r="AI37" s="1"/>
      <c r="AJ37" s="1"/>
    </row>
    <row r="38" spans="1:36">
      <c r="A38">
        <v>2</v>
      </c>
      <c r="B38">
        <v>2</v>
      </c>
      <c r="C38">
        <v>1</v>
      </c>
      <c r="D38">
        <v>2</v>
      </c>
      <c r="E38">
        <v>0</v>
      </c>
      <c r="F38">
        <v>1.2909999999999999</v>
      </c>
      <c r="G38">
        <v>2.5249999999999999</v>
      </c>
      <c r="H38">
        <v>4.274</v>
      </c>
      <c r="I38">
        <v>6.6740000000000004</v>
      </c>
      <c r="J38">
        <v>8.7210000000000001</v>
      </c>
      <c r="K38">
        <v>7.8049999999999997</v>
      </c>
      <c r="L38">
        <v>7.0540000000000003</v>
      </c>
      <c r="M38">
        <v>6.6749999999999998</v>
      </c>
      <c r="N38">
        <v>5.27</v>
      </c>
      <c r="O38">
        <v>4.718</v>
      </c>
      <c r="P38">
        <v>3.8109999999999999</v>
      </c>
      <c r="Q38">
        <v>2.7490000000000001</v>
      </c>
      <c r="R38">
        <v>1.526</v>
      </c>
      <c r="S38">
        <v>0.52400000000000002</v>
      </c>
      <c r="T38">
        <v>0.35699999999999998</v>
      </c>
      <c r="V38" s="3"/>
      <c r="AE38" s="2"/>
      <c r="AF38" s="2"/>
      <c r="AG38" s="2"/>
      <c r="AH38" s="1"/>
      <c r="AI38" s="1"/>
      <c r="AJ38" s="1"/>
    </row>
    <row r="39" spans="1:36">
      <c r="A39">
        <v>4</v>
      </c>
      <c r="B39">
        <v>2</v>
      </c>
      <c r="C39">
        <v>1</v>
      </c>
      <c r="D39">
        <v>2</v>
      </c>
      <c r="E39">
        <v>0</v>
      </c>
      <c r="F39">
        <v>1.359</v>
      </c>
      <c r="G39">
        <v>2.0939999999999999</v>
      </c>
      <c r="H39">
        <v>3.48</v>
      </c>
      <c r="I39">
        <v>4.9189999999999996</v>
      </c>
      <c r="J39">
        <v>7.4539999999999997</v>
      </c>
      <c r="K39">
        <v>9.14</v>
      </c>
      <c r="L39">
        <v>10.018000000000001</v>
      </c>
      <c r="M39">
        <v>8.5489999999999995</v>
      </c>
      <c r="N39">
        <v>6.5529999999999999</v>
      </c>
      <c r="O39">
        <v>5.5819999999999999</v>
      </c>
      <c r="P39">
        <v>4.3899999999999997</v>
      </c>
      <c r="Q39">
        <v>2.827</v>
      </c>
      <c r="R39">
        <v>1.357</v>
      </c>
      <c r="S39">
        <v>0.85</v>
      </c>
      <c r="T39">
        <v>0.38700000000000001</v>
      </c>
      <c r="V39" s="3"/>
      <c r="AE39" s="2"/>
      <c r="AF39" s="2"/>
      <c r="AG39" s="2"/>
      <c r="AH39" s="1"/>
      <c r="AI39" s="1"/>
      <c r="AJ39" s="1"/>
    </row>
    <row r="40" spans="1:36">
      <c r="A40">
        <v>5</v>
      </c>
      <c r="B40">
        <v>2</v>
      </c>
      <c r="C40">
        <v>1</v>
      </c>
      <c r="D40">
        <v>2</v>
      </c>
      <c r="E40">
        <v>0</v>
      </c>
      <c r="F40">
        <v>1.1419999999999999</v>
      </c>
      <c r="G40">
        <v>2.1800000000000002</v>
      </c>
      <c r="H40">
        <v>3.9689999999999999</v>
      </c>
      <c r="I40">
        <v>5.843</v>
      </c>
      <c r="J40">
        <v>7.9409999999999998</v>
      </c>
      <c r="K40">
        <v>7.1870000000000003</v>
      </c>
      <c r="L40">
        <v>6.2809999999999997</v>
      </c>
      <c r="M40">
        <v>5.5960000000000001</v>
      </c>
      <c r="N40">
        <v>4.9610000000000003</v>
      </c>
      <c r="O40">
        <v>4.2430000000000003</v>
      </c>
      <c r="P40">
        <v>3.1419999999999999</v>
      </c>
      <c r="Q40">
        <v>2.1240000000000001</v>
      </c>
      <c r="R40">
        <v>1.5229999999999999</v>
      </c>
      <c r="S40">
        <v>0.54200000000000004</v>
      </c>
      <c r="T40">
        <v>0.36299999999999999</v>
      </c>
      <c r="V40" s="3"/>
      <c r="AE40" s="2"/>
      <c r="AF40" s="2"/>
      <c r="AG40" s="2"/>
      <c r="AH40" s="1"/>
      <c r="AI40" s="1"/>
      <c r="AJ40" s="1"/>
    </row>
    <row r="41" spans="1:36">
      <c r="A41">
        <v>7</v>
      </c>
      <c r="B41">
        <v>2</v>
      </c>
      <c r="C41">
        <v>1</v>
      </c>
      <c r="D41">
        <v>2</v>
      </c>
      <c r="E41">
        <v>0</v>
      </c>
      <c r="F41">
        <v>1.264</v>
      </c>
      <c r="G41">
        <v>1.7390000000000001</v>
      </c>
      <c r="H41">
        <v>3.1709999999999998</v>
      </c>
      <c r="I41">
        <v>4.1769999999999996</v>
      </c>
      <c r="J41">
        <v>6.8250000000000002</v>
      </c>
      <c r="K41">
        <v>7.5309999999999997</v>
      </c>
      <c r="L41">
        <v>7.0010000000000003</v>
      </c>
      <c r="M41">
        <v>6.3540000000000001</v>
      </c>
      <c r="N41">
        <v>5.1950000000000003</v>
      </c>
      <c r="O41">
        <v>4.2859999999999996</v>
      </c>
      <c r="P41">
        <v>3.4980000000000002</v>
      </c>
      <c r="Q41">
        <v>2.4350000000000001</v>
      </c>
      <c r="R41">
        <v>1.585</v>
      </c>
      <c r="S41">
        <v>0.56299999999999994</v>
      </c>
      <c r="T41">
        <v>0.44700000000000001</v>
      </c>
      <c r="V41" s="3"/>
      <c r="AE41" s="2"/>
      <c r="AF41" s="2"/>
      <c r="AG41" s="2"/>
      <c r="AH41" s="1"/>
      <c r="AI41" s="1"/>
      <c r="AJ41" s="1"/>
    </row>
    <row r="42" spans="1:36">
      <c r="A42">
        <v>9</v>
      </c>
      <c r="B42">
        <v>2</v>
      </c>
      <c r="C42">
        <v>1</v>
      </c>
      <c r="D42">
        <v>2</v>
      </c>
      <c r="E42">
        <v>0</v>
      </c>
      <c r="F42">
        <v>1.544</v>
      </c>
      <c r="G42">
        <v>2.1240000000000001</v>
      </c>
      <c r="H42">
        <v>4</v>
      </c>
      <c r="I42">
        <v>4.9290000000000003</v>
      </c>
      <c r="J42">
        <v>9.5429999999999993</v>
      </c>
      <c r="K42">
        <v>8.8719999999999999</v>
      </c>
      <c r="L42">
        <v>8.0120000000000005</v>
      </c>
      <c r="M42">
        <v>7.3730000000000002</v>
      </c>
      <c r="N42">
        <v>6.2610000000000001</v>
      </c>
      <c r="O42">
        <v>5.24</v>
      </c>
      <c r="P42">
        <v>4.407</v>
      </c>
      <c r="Q42">
        <v>2.9449999999999998</v>
      </c>
      <c r="R42">
        <v>1.8360000000000001</v>
      </c>
      <c r="S42">
        <v>0.70099999999999996</v>
      </c>
      <c r="T42">
        <v>0.33900000000000002</v>
      </c>
      <c r="V42" s="3"/>
      <c r="AE42" s="2"/>
      <c r="AF42" s="2"/>
      <c r="AG42" s="2"/>
      <c r="AH42" s="1"/>
      <c r="AI42" s="1"/>
      <c r="AJ42" s="1"/>
    </row>
    <row r="43" spans="1:36">
      <c r="A43">
        <v>11</v>
      </c>
      <c r="B43">
        <v>2</v>
      </c>
      <c r="C43">
        <v>1</v>
      </c>
      <c r="D43">
        <v>2</v>
      </c>
      <c r="E43">
        <v>0</v>
      </c>
      <c r="F43">
        <v>0.86599999999999999</v>
      </c>
      <c r="G43">
        <v>1.139</v>
      </c>
      <c r="H43">
        <v>2.7360000000000002</v>
      </c>
      <c r="I43">
        <v>4.1989999999999998</v>
      </c>
      <c r="J43">
        <v>5.7290000000000001</v>
      </c>
      <c r="K43">
        <v>8.125</v>
      </c>
      <c r="L43">
        <v>7.0549999999999997</v>
      </c>
      <c r="M43">
        <v>5.968</v>
      </c>
      <c r="N43">
        <v>4.5830000000000002</v>
      </c>
      <c r="O43">
        <v>3.6190000000000002</v>
      </c>
      <c r="P43">
        <v>2.1869999999999998</v>
      </c>
      <c r="Q43">
        <v>1.6279999999999999</v>
      </c>
      <c r="R43">
        <v>0.89300000000000002</v>
      </c>
      <c r="S43">
        <v>0.51700000000000002</v>
      </c>
      <c r="T43">
        <v>0.44700000000000001</v>
      </c>
      <c r="V43" s="3"/>
      <c r="AE43" s="2"/>
      <c r="AF43" s="2"/>
      <c r="AG43" s="2"/>
      <c r="AH43" s="1"/>
      <c r="AI43" s="1"/>
      <c r="AJ43" s="1"/>
    </row>
    <row r="44" spans="1:36">
      <c r="A44">
        <v>14</v>
      </c>
      <c r="B44">
        <v>2</v>
      </c>
      <c r="C44">
        <v>1</v>
      </c>
      <c r="D44">
        <v>2</v>
      </c>
      <c r="E44">
        <v>0</v>
      </c>
      <c r="F44">
        <v>1.2909999999999999</v>
      </c>
      <c r="G44">
        <v>2.5249999999999999</v>
      </c>
      <c r="H44">
        <v>4.274</v>
      </c>
      <c r="I44">
        <v>6.6740000000000004</v>
      </c>
      <c r="J44">
        <v>7.7210000000000001</v>
      </c>
      <c r="K44">
        <v>7.1050000000000004</v>
      </c>
      <c r="L44">
        <v>6.5389999999999997</v>
      </c>
      <c r="M44">
        <v>5.9749999999999996</v>
      </c>
      <c r="N44">
        <v>5.27</v>
      </c>
      <c r="O44">
        <v>4.718</v>
      </c>
      <c r="P44">
        <v>3.8109999999999999</v>
      </c>
      <c r="Q44">
        <v>2.7490000000000001</v>
      </c>
      <c r="R44">
        <v>1.9730000000000001</v>
      </c>
      <c r="S44">
        <v>0.56299999999999994</v>
      </c>
      <c r="T44">
        <v>0.39900000000000002</v>
      </c>
      <c r="V44" s="3"/>
      <c r="AE44" s="2"/>
      <c r="AF44" s="2"/>
      <c r="AG44" s="2"/>
      <c r="AH44" s="1"/>
      <c r="AI44" s="1"/>
      <c r="AJ44" s="1"/>
    </row>
    <row r="45" spans="1:36">
      <c r="A45">
        <v>16</v>
      </c>
      <c r="B45">
        <v>2</v>
      </c>
      <c r="C45">
        <v>1</v>
      </c>
      <c r="D45">
        <v>2</v>
      </c>
      <c r="E45">
        <v>0</v>
      </c>
      <c r="F45">
        <v>1.252</v>
      </c>
      <c r="G45">
        <v>1.885</v>
      </c>
      <c r="H45">
        <v>3.597</v>
      </c>
      <c r="I45">
        <v>4.8849999999999998</v>
      </c>
      <c r="J45">
        <v>7.7409999999999997</v>
      </c>
      <c r="K45">
        <v>7.5359999999999996</v>
      </c>
      <c r="L45">
        <v>7.3330000000000002</v>
      </c>
      <c r="M45">
        <v>6.4260000000000002</v>
      </c>
      <c r="N45">
        <v>5.6550000000000002</v>
      </c>
      <c r="O45">
        <v>4.601</v>
      </c>
      <c r="P45">
        <v>3.6659999999999999</v>
      </c>
      <c r="Q45">
        <v>2.927</v>
      </c>
      <c r="R45">
        <v>1.647</v>
      </c>
      <c r="S45">
        <v>0.63400000000000001</v>
      </c>
      <c r="T45">
        <v>0.36199999999999999</v>
      </c>
      <c r="V45" s="3"/>
      <c r="AE45" s="2"/>
      <c r="AF45" s="2"/>
      <c r="AG45" s="2"/>
      <c r="AH45" s="1"/>
      <c r="AI45" s="1"/>
      <c r="AJ45" s="1"/>
    </row>
    <row r="46" spans="1:36">
      <c r="A46">
        <v>17</v>
      </c>
      <c r="B46">
        <v>2</v>
      </c>
      <c r="C46">
        <v>1</v>
      </c>
      <c r="D46">
        <v>2</v>
      </c>
      <c r="E46">
        <v>0</v>
      </c>
      <c r="F46">
        <v>1.147</v>
      </c>
      <c r="G46">
        <v>1.4359999999999999</v>
      </c>
      <c r="H46">
        <v>2.2000000000000002</v>
      </c>
      <c r="I46">
        <v>3.4380000000000002</v>
      </c>
      <c r="J46">
        <v>5.319</v>
      </c>
      <c r="K46">
        <v>6.2850000000000001</v>
      </c>
      <c r="L46">
        <v>7.7309999999999999</v>
      </c>
      <c r="M46">
        <v>6.0069999999999997</v>
      </c>
      <c r="N46">
        <v>4.7759999999999998</v>
      </c>
      <c r="O46">
        <v>4.2930000000000001</v>
      </c>
      <c r="P46">
        <v>2.9319999999999999</v>
      </c>
      <c r="Q46">
        <v>1.8979999999999999</v>
      </c>
      <c r="R46">
        <v>1.3560000000000001</v>
      </c>
      <c r="S46">
        <v>0.52300000000000002</v>
      </c>
      <c r="T46">
        <v>0.442</v>
      </c>
      <c r="V46" s="3"/>
      <c r="AE46" s="2"/>
      <c r="AF46" s="2"/>
      <c r="AG46" s="2"/>
      <c r="AH46" s="1"/>
      <c r="AI46" s="1"/>
      <c r="AJ46" s="1"/>
    </row>
    <row r="47" spans="1:36">
      <c r="A47">
        <v>19</v>
      </c>
      <c r="B47">
        <v>2</v>
      </c>
      <c r="C47">
        <v>1</v>
      </c>
      <c r="D47">
        <v>2</v>
      </c>
      <c r="E47">
        <v>0</v>
      </c>
      <c r="F47">
        <v>1.335</v>
      </c>
      <c r="G47">
        <v>2.0219999999999998</v>
      </c>
      <c r="H47">
        <v>3.548</v>
      </c>
      <c r="I47">
        <v>6.1849999999999996</v>
      </c>
      <c r="J47">
        <v>8.8859999999999992</v>
      </c>
      <c r="K47">
        <v>8.1920000000000002</v>
      </c>
      <c r="L47">
        <v>7.4779999999999998</v>
      </c>
      <c r="M47">
        <v>6.6</v>
      </c>
      <c r="N47">
        <v>5.6740000000000004</v>
      </c>
      <c r="O47">
        <v>4.9329999999999998</v>
      </c>
      <c r="P47">
        <v>3.5009999999999999</v>
      </c>
      <c r="Q47">
        <v>2.355</v>
      </c>
      <c r="R47">
        <v>1.48</v>
      </c>
      <c r="S47">
        <v>0.53400000000000003</v>
      </c>
      <c r="T47">
        <v>0.315</v>
      </c>
      <c r="V47" s="3"/>
      <c r="AE47" s="2"/>
      <c r="AF47" s="2"/>
      <c r="AG47" s="2"/>
      <c r="AH47" s="1"/>
      <c r="AI47" s="1"/>
      <c r="AJ47" s="1"/>
    </row>
    <row r="48" spans="1:36">
      <c r="A48">
        <v>22</v>
      </c>
      <c r="B48">
        <v>2</v>
      </c>
      <c r="C48">
        <v>1</v>
      </c>
      <c r="D48">
        <v>2</v>
      </c>
      <c r="E48">
        <v>0</v>
      </c>
      <c r="F48">
        <v>1.274</v>
      </c>
      <c r="G48">
        <v>1.9410000000000001</v>
      </c>
      <c r="H48">
        <v>3.214</v>
      </c>
      <c r="I48">
        <v>4.5640000000000001</v>
      </c>
      <c r="J48">
        <v>6.923</v>
      </c>
      <c r="K48">
        <v>8.4789999999999992</v>
      </c>
      <c r="L48">
        <v>8.3539999999999992</v>
      </c>
      <c r="M48">
        <v>6.8179999999999996</v>
      </c>
      <c r="N48">
        <v>6.0970000000000004</v>
      </c>
      <c r="O48">
        <v>5.2039999999999997</v>
      </c>
      <c r="P48">
        <v>2.734</v>
      </c>
      <c r="Q48">
        <v>1.671</v>
      </c>
      <c r="R48">
        <v>0.83799999999999997</v>
      </c>
      <c r="S48">
        <v>0.57199999999999995</v>
      </c>
      <c r="T48">
        <v>0.18099999999999999</v>
      </c>
      <c r="V48" s="3"/>
      <c r="AE48" s="2"/>
      <c r="AF48" s="2"/>
      <c r="AG48" s="2"/>
      <c r="AH48" s="1"/>
      <c r="AI48" s="1"/>
      <c r="AJ48" s="1"/>
    </row>
    <row r="49" spans="1:36">
      <c r="A49">
        <v>24</v>
      </c>
      <c r="B49">
        <v>2</v>
      </c>
      <c r="C49">
        <v>1</v>
      </c>
      <c r="D49">
        <v>2</v>
      </c>
      <c r="E49">
        <v>0</v>
      </c>
      <c r="F49">
        <v>1.462</v>
      </c>
      <c r="G49">
        <v>2.4209999999999998</v>
      </c>
      <c r="H49">
        <v>4.0430000000000001</v>
      </c>
      <c r="I49">
        <v>9.1359999999999992</v>
      </c>
      <c r="J49">
        <v>8.5009999999999994</v>
      </c>
      <c r="K49">
        <v>7.9640000000000004</v>
      </c>
      <c r="L49">
        <v>7.3109999999999999</v>
      </c>
      <c r="M49">
        <v>6.9359999999999999</v>
      </c>
      <c r="N49">
        <v>5.7089999999999996</v>
      </c>
      <c r="O49">
        <v>5.2960000000000003</v>
      </c>
      <c r="P49">
        <v>4.3449999999999998</v>
      </c>
      <c r="Q49">
        <v>3.1</v>
      </c>
      <c r="R49">
        <v>1.9870000000000001</v>
      </c>
      <c r="S49">
        <v>0.5</v>
      </c>
      <c r="T49">
        <v>0.44800000000000001</v>
      </c>
      <c r="V49" s="3"/>
      <c r="AE49" s="2"/>
      <c r="AF49" s="2"/>
      <c r="AG49" s="2"/>
      <c r="AH49" s="1"/>
      <c r="AI49" s="1"/>
      <c r="AJ49" s="1"/>
    </row>
    <row r="50" spans="1:36">
      <c r="U50" t="s">
        <v>13</v>
      </c>
      <c r="Z50" s="7"/>
      <c r="AE50" s="2"/>
      <c r="AF50" s="2"/>
      <c r="AG50" s="2"/>
      <c r="AH50" s="1"/>
      <c r="AI50" s="1"/>
      <c r="AJ50" s="1"/>
    </row>
    <row r="51" spans="1:36">
      <c r="U51" t="s">
        <v>14</v>
      </c>
      <c r="Z51" s="7"/>
      <c r="AE51" s="2"/>
      <c r="AF51" s="2"/>
      <c r="AG51" s="2"/>
      <c r="AH51" s="1"/>
      <c r="AI51" s="1"/>
      <c r="AJ51" s="1"/>
    </row>
    <row r="52" spans="1:36">
      <c r="U52" t="s">
        <v>12</v>
      </c>
      <c r="Z52" s="7"/>
      <c r="AE52" s="2"/>
      <c r="AF52" s="2"/>
      <c r="AG52" s="2"/>
      <c r="AH52" s="1"/>
      <c r="AI52" s="1"/>
      <c r="AJ52" s="1"/>
    </row>
    <row r="53" spans="1:36">
      <c r="U53" t="s">
        <v>15</v>
      </c>
      <c r="Z53" s="7"/>
      <c r="AE53" s="2"/>
      <c r="AF53" s="2"/>
      <c r="AG53" s="2"/>
      <c r="AH53" s="1"/>
      <c r="AI53" s="1"/>
      <c r="AJ53" s="1"/>
    </row>
    <row r="54" spans="1:36">
      <c r="U54" t="s">
        <v>16</v>
      </c>
      <c r="Z54" s="7"/>
      <c r="AE54" s="2"/>
      <c r="AF54" s="2"/>
      <c r="AG54" s="2"/>
      <c r="AH54" s="1"/>
      <c r="AI54" s="1"/>
      <c r="AJ54" s="1"/>
    </row>
    <row r="55" spans="1:36">
      <c r="AE55" s="2"/>
      <c r="AF55" s="2"/>
      <c r="AG55" s="2"/>
      <c r="AH55" s="1"/>
      <c r="AI55" s="1"/>
      <c r="AJ55" s="1"/>
    </row>
    <row r="10001" spans="1:11">
      <c r="A10001" t="e">
        <f t="shared" ref="A10001:K10001" si="0">LOG10(A10000)</f>
        <v>#NUM!</v>
      </c>
      <c r="B10001" t="e">
        <f t="shared" si="0"/>
        <v>#NUM!</v>
      </c>
      <c r="C10001" t="e">
        <f t="shared" si="0"/>
        <v>#NUM!</v>
      </c>
      <c r="D10001" t="e">
        <f t="shared" si="0"/>
        <v>#NUM!</v>
      </c>
      <c r="E10001" t="e">
        <f t="shared" si="0"/>
        <v>#NUM!</v>
      </c>
      <c r="F10001" t="e">
        <f t="shared" si="0"/>
        <v>#NUM!</v>
      </c>
      <c r="G10001" t="e">
        <f t="shared" si="0"/>
        <v>#NUM!</v>
      </c>
      <c r="H10001" t="e">
        <f t="shared" si="0"/>
        <v>#NUM!</v>
      </c>
      <c r="I10001" t="e">
        <f t="shared" si="0"/>
        <v>#NUM!</v>
      </c>
      <c r="J10001" t="e">
        <f t="shared" si="0"/>
        <v>#NUM!</v>
      </c>
      <c r="K10001" t="e">
        <f t="shared" si="0"/>
        <v>#NUM!</v>
      </c>
    </row>
    <row r="1048564" spans="12:20">
      <c r="L1048564">
        <v>9.7880000000000003</v>
      </c>
      <c r="M1048564">
        <v>8.8059999999999992</v>
      </c>
      <c r="N1048564">
        <v>7.5629999999999997</v>
      </c>
      <c r="O1048564">
        <v>6.4139999999999997</v>
      </c>
      <c r="P1048564">
        <v>5.9390000000000001</v>
      </c>
      <c r="Q1048564">
        <v>4.2830000000000004</v>
      </c>
      <c r="R1048564">
        <v>2.4550000000000001</v>
      </c>
      <c r="S1048564">
        <v>0.93400000000000005</v>
      </c>
      <c r="T1048564">
        <v>0.32600000000000001</v>
      </c>
    </row>
    <row r="1048565" spans="12:20">
      <c r="L1048565">
        <f>LN(L1048564)</f>
        <v>2.2811571455804254</v>
      </c>
    </row>
    <row r="1048576" spans="12:20">
      <c r="L1048576">
        <v>9.7880000000000003</v>
      </c>
      <c r="M1048576">
        <v>8.8059999999999992</v>
      </c>
      <c r="N1048576">
        <v>7.5629999999999997</v>
      </c>
      <c r="O1048576">
        <v>6.4139999999999997</v>
      </c>
      <c r="P1048576">
        <v>5.9390000000000001</v>
      </c>
      <c r="Q1048576">
        <v>4.2830000000000004</v>
      </c>
      <c r="R1048576">
        <v>2.4550000000000001</v>
      </c>
      <c r="S1048576">
        <v>0.93400000000000005</v>
      </c>
      <c r="T1048576">
        <v>0.32600000000000001</v>
      </c>
    </row>
  </sheetData>
  <sortState ref="A2:T49">
    <sortCondition ref="B2:B49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X4"/>
  <sheetViews>
    <sheetView topLeftCell="H1" zoomScale="145" zoomScaleNormal="145" workbookViewId="0">
      <selection activeCell="Q2" sqref="Q2"/>
    </sheetView>
  </sheetViews>
  <sheetFormatPr defaultRowHeight="15"/>
  <cols>
    <col min="1" max="1" width="2.7109375" style="3" bestFit="1" customWidth="1"/>
    <col min="2" max="2" width="2" style="3" bestFit="1" customWidth="1"/>
    <col min="3" max="6" width="6.28515625" style="3" bestFit="1" customWidth="1"/>
    <col min="7" max="7" width="5.28515625" style="3" bestFit="1" customWidth="1"/>
    <col min="8" max="8" width="7.42578125" style="3" bestFit="1" customWidth="1"/>
    <col min="9" max="17" width="6.28515625" style="3" bestFit="1" customWidth="1"/>
    <col min="18" max="18" width="6.42578125" style="3" bestFit="1" customWidth="1"/>
    <col min="19" max="16384" width="9.140625" style="3"/>
  </cols>
  <sheetData>
    <row r="2" spans="1:24">
      <c r="A2" s="2" t="s">
        <v>4</v>
      </c>
      <c r="B2" s="2">
        <v>0</v>
      </c>
      <c r="C2" s="2">
        <v>0.5</v>
      </c>
      <c r="D2" s="2">
        <v>1</v>
      </c>
      <c r="E2" s="2">
        <v>1.25</v>
      </c>
      <c r="F2" s="2">
        <v>1.5</v>
      </c>
      <c r="G2" s="2">
        <v>1.75</v>
      </c>
      <c r="H2" s="2">
        <v>2</v>
      </c>
      <c r="I2" s="2">
        <v>2.25</v>
      </c>
      <c r="J2" s="2">
        <v>2.5</v>
      </c>
      <c r="K2" s="2">
        <v>2.75</v>
      </c>
      <c r="L2" s="2">
        <v>3</v>
      </c>
      <c r="M2" s="2">
        <v>3.5</v>
      </c>
      <c r="N2" s="2">
        <v>4</v>
      </c>
      <c r="O2" s="2">
        <v>6</v>
      </c>
      <c r="P2" s="2">
        <v>8</v>
      </c>
      <c r="Q2" s="2">
        <v>12</v>
      </c>
      <c r="R2" s="3" t="s">
        <v>8</v>
      </c>
      <c r="S2" s="2" t="s">
        <v>6</v>
      </c>
      <c r="T2" s="2" t="s">
        <v>7</v>
      </c>
      <c r="U2" s="2" t="s">
        <v>9</v>
      </c>
      <c r="V2" s="2" t="s">
        <v>10</v>
      </c>
      <c r="W2" s="2" t="s">
        <v>11</v>
      </c>
      <c r="X2" s="2"/>
    </row>
    <row r="3" spans="1:24">
      <c r="A3" s="2" t="s">
        <v>5</v>
      </c>
      <c r="B3" s="2">
        <v>0</v>
      </c>
      <c r="C3" s="2">
        <v>1.6519999999999999</v>
      </c>
      <c r="D3" s="2">
        <v>2.3849999999999998</v>
      </c>
      <c r="E3" s="2">
        <v>3.7810000000000001</v>
      </c>
      <c r="F3" s="2">
        <v>5.5179999999999998</v>
      </c>
      <c r="G3" s="2">
        <v>8.61</v>
      </c>
      <c r="H3" s="4">
        <v>10.423</v>
      </c>
      <c r="I3" s="2">
        <v>9.7880000000000003</v>
      </c>
      <c r="J3" s="2">
        <v>8.8059999999999992</v>
      </c>
      <c r="K3" s="2">
        <v>7.5629999999999997</v>
      </c>
      <c r="L3" s="2">
        <v>6.4139999999999997</v>
      </c>
      <c r="M3" s="2">
        <v>5.9390000000000001</v>
      </c>
      <c r="N3" s="2">
        <v>4.2830000000000004</v>
      </c>
      <c r="O3" s="2">
        <v>2.4550000000000001</v>
      </c>
      <c r="P3" s="2">
        <v>0.93400000000000005</v>
      </c>
      <c r="Q3" s="2">
        <v>0.32600000000000001</v>
      </c>
      <c r="R3" s="3">
        <f>MATCH(S3,B3:Q3,0)</f>
        <v>7</v>
      </c>
      <c r="S3" s="2">
        <f>MAX(B3:Q3)</f>
        <v>10.423</v>
      </c>
      <c r="T3" s="2">
        <f>INDEX($B$2:$Q$2,R3)</f>
        <v>2</v>
      </c>
      <c r="U3" s="2">
        <f>SUMPRODUCT(C3:Q3+B3:P3,C2:Q2-B2:P2)/2</f>
        <v>34.435124999999999</v>
      </c>
      <c r="V3" s="2">
        <f>SLOPE(LOG(I3:Q3),I2:Q2)</f>
        <v>-0.15329132383042049</v>
      </c>
      <c r="W3" s="2"/>
      <c r="X3" s="2"/>
    </row>
    <row r="4" spans="1:24">
      <c r="B4" s="3">
        <v>1</v>
      </c>
      <c r="C4" s="3">
        <v>2</v>
      </c>
      <c r="D4" s="3">
        <v>3</v>
      </c>
      <c r="E4" s="3">
        <f>D4+1</f>
        <v>4</v>
      </c>
      <c r="F4" s="3">
        <f t="shared" ref="F4:Q4" si="0">E4+1</f>
        <v>5</v>
      </c>
      <c r="G4" s="3">
        <f t="shared" si="0"/>
        <v>6</v>
      </c>
      <c r="H4" s="3">
        <f t="shared" si="0"/>
        <v>7</v>
      </c>
      <c r="I4" s="3">
        <f t="shared" si="0"/>
        <v>8</v>
      </c>
      <c r="J4" s="3">
        <f t="shared" si="0"/>
        <v>9</v>
      </c>
      <c r="K4" s="3">
        <f t="shared" si="0"/>
        <v>10</v>
      </c>
      <c r="L4" s="3">
        <f t="shared" si="0"/>
        <v>11</v>
      </c>
      <c r="M4" s="3">
        <f t="shared" si="0"/>
        <v>12</v>
      </c>
      <c r="N4" s="3">
        <f t="shared" si="0"/>
        <v>13</v>
      </c>
      <c r="O4" s="3">
        <f t="shared" si="0"/>
        <v>14</v>
      </c>
      <c r="P4" s="3">
        <f t="shared" si="0"/>
        <v>15</v>
      </c>
      <c r="Q4" s="3">
        <f t="shared" si="0"/>
        <v>16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5"/>
  <sheetViews>
    <sheetView zoomScale="205" zoomScaleNormal="205" workbookViewId="0">
      <selection sqref="A1:XFD1048576"/>
    </sheetView>
  </sheetViews>
  <sheetFormatPr defaultRowHeight="15"/>
  <sheetData>
    <row r="1" spans="1:3">
      <c r="A1">
        <v>15</v>
      </c>
      <c r="C1">
        <v>1</v>
      </c>
    </row>
    <row r="2" spans="1:3">
      <c r="C2">
        <v>4</v>
      </c>
    </row>
    <row r="3" spans="1:3">
      <c r="C3">
        <v>9</v>
      </c>
    </row>
    <row r="4" spans="1:3">
      <c r="C4">
        <v>16</v>
      </c>
    </row>
    <row r="5" spans="1:3">
      <c r="C5">
        <v>25</v>
      </c>
    </row>
    <row r="6" spans="1:3">
      <c r="C6">
        <v>36</v>
      </c>
    </row>
    <row r="7" spans="1:3">
      <c r="C7">
        <v>49</v>
      </c>
    </row>
    <row r="8" spans="1:3">
      <c r="C8">
        <v>64</v>
      </c>
    </row>
    <row r="9" spans="1:3">
      <c r="C9">
        <v>81</v>
      </c>
    </row>
    <row r="10" spans="1:3">
      <c r="C10">
        <v>100</v>
      </c>
    </row>
    <row r="11" spans="1:3">
      <c r="C11">
        <v>121</v>
      </c>
    </row>
    <row r="12" spans="1:3">
      <c r="C12">
        <v>144</v>
      </c>
    </row>
    <row r="13" spans="1:3">
      <c r="C13">
        <v>169</v>
      </c>
    </row>
    <row r="14" spans="1:3">
      <c r="C14">
        <v>196</v>
      </c>
    </row>
    <row r="15" spans="1:3">
      <c r="C15">
        <v>225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BABEData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2021-11-17T09:34:16Z</dcterms:created>
  <dcterms:modified xsi:type="dcterms:W3CDTF">2021-11-18T07:13:37Z</dcterms:modified>
</cp:coreProperties>
</file>